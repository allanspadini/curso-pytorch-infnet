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ção Percept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2" fillId="5" borderId="1" pivotButton="0" quotePrefix="0" xfId="0"/>
    <xf numFmtId="2" fontId="2" fillId="0" borderId="1" applyAlignment="1" pivotButton="0" quotePrefix="0" xfId="0">
      <alignment horizontal="right"/>
    </xf>
    <xf numFmtId="0" fontId="1" fillId="4" borderId="0" applyAlignment="1" pivotButton="0" quotePrefix="0" xfId="0">
      <alignment horizontal="center"/>
    </xf>
    <xf numFmtId="2" fontId="3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24" customWidth="1" min="4" max="4"/>
    <col width="20" customWidth="1" min="5" max="5"/>
    <col width="20" customWidth="1" min="6" max="6"/>
    <col width="20" customWidth="1" min="7" max="7"/>
    <col width="14" customWidth="1" min="8" max="8"/>
    <col width="14" customWidth="1" min="9" max="9"/>
    <col width="14" customWidth="1" min="10" max="10"/>
    <col width="24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Nome do Atleta</t>
        </is>
      </c>
      <c r="C1" s="1" t="inlineStr">
        <is>
          <t>Creatina (g/dia)</t>
        </is>
      </c>
      <c r="D1" s="1" t="inlineStr">
        <is>
          <t>Horas de Treino / semana</t>
        </is>
      </c>
      <c r="E1" s="1" t="inlineStr">
        <is>
          <t>Performance Real (y)</t>
        </is>
      </c>
      <c r="F1" s="1" t="inlineStr">
        <is>
          <t>Soma Ponderada (z)</t>
        </is>
      </c>
      <c r="G1" s="1" t="inlineStr">
        <is>
          <t>Ativação (sigmoid)</t>
        </is>
      </c>
      <c r="H1" s="1" t="inlineStr">
        <is>
          <t>Predição (ŷ)</t>
        </is>
      </c>
      <c r="I1" s="1" t="inlineStr">
        <is>
          <t>Erro (y - ŷ)</t>
        </is>
      </c>
      <c r="J1" s="1" t="inlineStr">
        <is>
          <t>Perda (Loss)</t>
        </is>
      </c>
      <c r="L1" s="2" t="inlineStr">
        <is>
          <t>PARÂMETROS DO NEURÔNIO</t>
        </is>
      </c>
    </row>
    <row r="2">
      <c r="A2" s="3" t="n">
        <v>1</v>
      </c>
      <c r="B2" s="3" t="inlineStr">
        <is>
          <t>Ana</t>
        </is>
      </c>
      <c r="C2" s="4" t="n">
        <v>5</v>
      </c>
      <c r="D2" s="4" t="n">
        <v>8</v>
      </c>
      <c r="E2" s="5" t="n">
        <v>1</v>
      </c>
      <c r="F2" s="4">
        <f>C2*$M$2 + D2*$M$3 + $M$4</f>
        <v/>
      </c>
      <c r="G2" s="4">
        <f>1/(1 + EXP(-F2))</f>
        <v/>
      </c>
      <c r="H2" s="5">
        <f>IF(G2&gt;=0.5, 1, 0)</f>
        <v/>
      </c>
      <c r="I2" s="5">
        <f>E2-H2</f>
        <v/>
      </c>
      <c r="J2" s="4">
        <f>(E2-G2)^2</f>
        <v/>
      </c>
      <c r="L2" s="6" t="inlineStr">
        <is>
          <t>Peso Creatina (W1)</t>
        </is>
      </c>
      <c r="M2" s="7" t="n">
        <v>0</v>
      </c>
    </row>
    <row r="3">
      <c r="A3" s="3" t="n">
        <v>2</v>
      </c>
      <c r="B3" s="3" t="inlineStr">
        <is>
          <t>Bruno</t>
        </is>
      </c>
      <c r="C3" s="4" t="n">
        <v>1</v>
      </c>
      <c r="D3" s="4" t="n">
        <v>2</v>
      </c>
      <c r="E3" s="5" t="n">
        <v>0</v>
      </c>
      <c r="F3" s="4">
        <f>C3*$M$2 + D3*$M$3 + $M$4</f>
        <v/>
      </c>
      <c r="G3" s="4">
        <f>1/(1 + EXP(-F3))</f>
        <v/>
      </c>
      <c r="H3" s="5">
        <f>IF(G3&gt;=0.5, 1, 0)</f>
        <v/>
      </c>
      <c r="I3" s="5">
        <f>E3-H3</f>
        <v/>
      </c>
      <c r="J3" s="4">
        <f>(E3-G3)^2</f>
        <v/>
      </c>
      <c r="L3" s="6" t="inlineStr">
        <is>
          <t>Peso Treino (W2)</t>
        </is>
      </c>
      <c r="M3" s="7" t="n">
        <v>0</v>
      </c>
    </row>
    <row r="4">
      <c r="A4" s="3" t="n">
        <v>3</v>
      </c>
      <c r="B4" s="3" t="inlineStr">
        <is>
          <t>Carlos</t>
        </is>
      </c>
      <c r="C4" s="4" t="n">
        <v>3</v>
      </c>
      <c r="D4" s="4" t="n">
        <v>6</v>
      </c>
      <c r="E4" s="5" t="n">
        <v>1</v>
      </c>
      <c r="F4" s="4">
        <f>C4*$M$2 + D4*$M$3 + $M$4</f>
        <v/>
      </c>
      <c r="G4" s="4">
        <f>1/(1 + EXP(-F4))</f>
        <v/>
      </c>
      <c r="H4" s="5">
        <f>IF(G4&gt;=0.5, 1, 0)</f>
        <v/>
      </c>
      <c r="I4" s="5">
        <f>E4-H4</f>
        <v/>
      </c>
      <c r="J4" s="4">
        <f>(E4-G4)^2</f>
        <v/>
      </c>
      <c r="L4" s="6" t="inlineStr">
        <is>
          <t>Viés (b)</t>
        </is>
      </c>
      <c r="M4" s="7" t="n">
        <v>0</v>
      </c>
    </row>
    <row r="5">
      <c r="A5" s="3" t="n">
        <v>4</v>
      </c>
      <c r="B5" s="3" t="inlineStr">
        <is>
          <t>Diana</t>
        </is>
      </c>
      <c r="C5" s="4" t="n">
        <v>0</v>
      </c>
      <c r="D5" s="4" t="n">
        <v>4</v>
      </c>
      <c r="E5" s="5" t="n">
        <v>0</v>
      </c>
      <c r="F5" s="4">
        <f>C5*$M$2 + D5*$M$3 + $M$4</f>
        <v/>
      </c>
      <c r="G5" s="4">
        <f>1/(1 + EXP(-F5))</f>
        <v/>
      </c>
      <c r="H5" s="5">
        <f>IF(G5&gt;=0.5, 1, 0)</f>
        <v/>
      </c>
      <c r="I5" s="5">
        <f>E5-H5</f>
        <v/>
      </c>
      <c r="J5" s="4">
        <f>(E5-G5)^2</f>
        <v/>
      </c>
      <c r="L5" s="8" t="inlineStr">
        <is>
          <t>DESEMPENHO DO MODELO</t>
        </is>
      </c>
    </row>
    <row r="6">
      <c r="A6" s="3" t="n">
        <v>5</v>
      </c>
      <c r="B6" s="3" t="inlineStr">
        <is>
          <t>Eduardo</t>
        </is>
      </c>
      <c r="C6" s="4" t="n">
        <v>8</v>
      </c>
      <c r="D6" s="4" t="n">
        <v>7</v>
      </c>
      <c r="E6" s="5" t="n">
        <v>1</v>
      </c>
      <c r="F6" s="4">
        <f>C6*$M$2 + D6*$M$3 + $M$4</f>
        <v/>
      </c>
      <c r="G6" s="4">
        <f>1/(1 + EXP(-F6))</f>
        <v/>
      </c>
      <c r="H6" s="5">
        <f>IF(G6&gt;=0.5, 1, 0)</f>
        <v/>
      </c>
      <c r="I6" s="5">
        <f>E6-H6</f>
        <v/>
      </c>
      <c r="J6" s="4">
        <f>(E6-G6)^2</f>
        <v/>
      </c>
      <c r="L6" s="6" t="inlineStr">
        <is>
          <t>Perda Média (Loss Total)</t>
        </is>
      </c>
      <c r="M6" s="9">
        <f>AVERAGE(J2:J21)</f>
        <v/>
      </c>
    </row>
    <row r="7">
      <c r="A7" s="3" t="n">
        <v>6</v>
      </c>
      <c r="B7" s="3" t="inlineStr">
        <is>
          <t>Fernanda</t>
        </is>
      </c>
      <c r="C7" s="4" t="n">
        <v>2</v>
      </c>
      <c r="D7" s="4" t="n">
        <v>3</v>
      </c>
      <c r="E7" s="5" t="n">
        <v>0</v>
      </c>
      <c r="F7" s="4">
        <f>C7*$M$2 + D7*$M$3 + $M$4</f>
        <v/>
      </c>
      <c r="G7" s="4">
        <f>1/(1 + EXP(-F7))</f>
        <v/>
      </c>
      <c r="H7" s="5">
        <f>IF(G7&gt;=0.5, 1, 0)</f>
        <v/>
      </c>
      <c r="I7" s="5">
        <f>E7-H7</f>
        <v/>
      </c>
      <c r="J7" s="4">
        <f>(E7-G7)^2</f>
        <v/>
      </c>
    </row>
    <row r="8">
      <c r="A8" s="3" t="n">
        <v>7</v>
      </c>
      <c r="B8" s="3" t="inlineStr">
        <is>
          <t>Gabriel</t>
        </is>
      </c>
      <c r="C8" s="4" t="n">
        <v>6</v>
      </c>
      <c r="D8" s="4" t="n">
        <v>5</v>
      </c>
      <c r="E8" s="5" t="n">
        <v>1</v>
      </c>
      <c r="F8" s="4">
        <f>C8*$M$2 + D8*$M$3 + $M$4</f>
        <v/>
      </c>
      <c r="G8" s="4">
        <f>1/(1 + EXP(-F8))</f>
        <v/>
      </c>
      <c r="H8" s="5">
        <f>IF(G8&gt;=0.5, 1, 0)</f>
        <v/>
      </c>
      <c r="I8" s="5">
        <f>E8-H8</f>
        <v/>
      </c>
      <c r="J8" s="4">
        <f>(E8-G8)^2</f>
        <v/>
      </c>
    </row>
    <row r="9">
      <c r="A9" s="3" t="n">
        <v>8</v>
      </c>
      <c r="B9" s="3" t="inlineStr">
        <is>
          <t>Helena</t>
        </is>
      </c>
      <c r="C9" s="4" t="n">
        <v>4</v>
      </c>
      <c r="D9" s="4" t="n">
        <v>2</v>
      </c>
      <c r="E9" s="5" t="n">
        <v>0</v>
      </c>
      <c r="F9" s="4">
        <f>C9*$M$2 + D9*$M$3 + $M$4</f>
        <v/>
      </c>
      <c r="G9" s="4">
        <f>1/(1 + EXP(-F9))</f>
        <v/>
      </c>
      <c r="H9" s="5">
        <f>IF(G9&gt;=0.5, 1, 0)</f>
        <v/>
      </c>
      <c r="I9" s="5">
        <f>E9-H9</f>
        <v/>
      </c>
      <c r="J9" s="4">
        <f>(E9-G9)^2</f>
        <v/>
      </c>
    </row>
    <row r="10">
      <c r="A10" s="3" t="n">
        <v>9</v>
      </c>
      <c r="B10" s="3" t="inlineStr">
        <is>
          <t>Igor</t>
        </is>
      </c>
      <c r="C10" s="4" t="n">
        <v>10</v>
      </c>
      <c r="D10" s="4" t="n">
        <v>9</v>
      </c>
      <c r="E10" s="5" t="n">
        <v>1</v>
      </c>
      <c r="F10" s="4">
        <f>C10*$M$2 + D10*$M$3 + $M$4</f>
        <v/>
      </c>
      <c r="G10" s="4">
        <f>1/(1 + EXP(-F10))</f>
        <v/>
      </c>
      <c r="H10" s="5">
        <f>IF(G10&gt;=0.5, 1, 0)</f>
        <v/>
      </c>
      <c r="I10" s="5">
        <f>E10-H10</f>
        <v/>
      </c>
      <c r="J10" s="4">
        <f>(E10-G10)^2</f>
        <v/>
      </c>
    </row>
    <row r="11">
      <c r="A11" s="3" t="n">
        <v>10</v>
      </c>
      <c r="B11" s="3" t="inlineStr">
        <is>
          <t>Julia</t>
        </is>
      </c>
      <c r="C11" s="4" t="n">
        <v>2</v>
      </c>
      <c r="D11" s="4" t="n">
        <v>5</v>
      </c>
      <c r="E11" s="5" t="n">
        <v>0</v>
      </c>
      <c r="F11" s="4">
        <f>C11*$M$2 + D11*$M$3 + $M$4</f>
        <v/>
      </c>
      <c r="G11" s="4">
        <f>1/(1 + EXP(-F11))</f>
        <v/>
      </c>
      <c r="H11" s="5">
        <f>IF(G11&gt;=0.5, 1, 0)</f>
        <v/>
      </c>
      <c r="I11" s="5">
        <f>E11-H11</f>
        <v/>
      </c>
      <c r="J11" s="4">
        <f>(E11-G11)^2</f>
        <v/>
      </c>
    </row>
    <row r="12">
      <c r="A12" s="3" t="n">
        <v>11</v>
      </c>
      <c r="B12" s="3" t="inlineStr">
        <is>
          <t>Kleber</t>
        </is>
      </c>
      <c r="C12" s="4" t="n">
        <v>7</v>
      </c>
      <c r="D12" s="4" t="n">
        <v>4</v>
      </c>
      <c r="E12" s="5" t="n">
        <v>1</v>
      </c>
      <c r="F12" s="4">
        <f>C12*$M$2 + D12*$M$3 + $M$4</f>
        <v/>
      </c>
      <c r="G12" s="4">
        <f>1/(1 + EXP(-F12))</f>
        <v/>
      </c>
      <c r="H12" s="5">
        <f>IF(G12&gt;=0.5, 1, 0)</f>
        <v/>
      </c>
      <c r="I12" s="5">
        <f>E12-H12</f>
        <v/>
      </c>
      <c r="J12" s="4">
        <f>(E12-G12)^2</f>
        <v/>
      </c>
    </row>
    <row r="13">
      <c r="A13" s="3" t="n">
        <v>12</v>
      </c>
      <c r="B13" s="3" t="inlineStr">
        <is>
          <t>Larissa</t>
        </is>
      </c>
      <c r="C13" s="4" t="n">
        <v>3</v>
      </c>
      <c r="D13" s="4" t="n">
        <v>2</v>
      </c>
      <c r="E13" s="5" t="n">
        <v>0</v>
      </c>
      <c r="F13" s="4">
        <f>C13*$M$2 + D13*$M$3 + $M$4</f>
        <v/>
      </c>
      <c r="G13" s="4">
        <f>1/(1 + EXP(-F13))</f>
        <v/>
      </c>
      <c r="H13" s="5">
        <f>IF(G13&gt;=0.5, 1, 0)</f>
        <v/>
      </c>
      <c r="I13" s="5">
        <f>E13-H13</f>
        <v/>
      </c>
      <c r="J13" s="4">
        <f>(E13-G13)^2</f>
        <v/>
      </c>
    </row>
    <row r="14">
      <c r="A14" s="3" t="n">
        <v>13</v>
      </c>
      <c r="B14" s="3" t="inlineStr">
        <is>
          <t>Mauricio</t>
        </is>
      </c>
      <c r="C14" s="4" t="n">
        <v>5</v>
      </c>
      <c r="D14" s="4" t="n">
        <v>6</v>
      </c>
      <c r="E14" s="5" t="n">
        <v>1</v>
      </c>
      <c r="F14" s="4">
        <f>C14*$M$2 + D14*$M$3 + $M$4</f>
        <v/>
      </c>
      <c r="G14" s="4">
        <f>1/(1 + EXP(-F14))</f>
        <v/>
      </c>
      <c r="H14" s="5">
        <f>IF(G14&gt;=0.5, 1, 0)</f>
        <v/>
      </c>
      <c r="I14" s="5">
        <f>E14-H14</f>
        <v/>
      </c>
      <c r="J14" s="4">
        <f>(E14-G14)^2</f>
        <v/>
      </c>
    </row>
    <row r="15">
      <c r="A15" s="3" t="n">
        <v>14</v>
      </c>
      <c r="B15" s="3" t="inlineStr">
        <is>
          <t>Nara</t>
        </is>
      </c>
      <c r="C15" s="4" t="n">
        <v>1</v>
      </c>
      <c r="D15" s="4" t="n">
        <v>6</v>
      </c>
      <c r="E15" s="5" t="n">
        <v>0</v>
      </c>
      <c r="F15" s="4">
        <f>C15*$M$2 + D15*$M$3 + $M$4</f>
        <v/>
      </c>
      <c r="G15" s="4">
        <f>1/(1 + EXP(-F15))</f>
        <v/>
      </c>
      <c r="H15" s="5">
        <f>IF(G15&gt;=0.5, 1, 0)</f>
        <v/>
      </c>
      <c r="I15" s="5">
        <f>E15-H15</f>
        <v/>
      </c>
      <c r="J15" s="4">
        <f>(E15-G15)^2</f>
        <v/>
      </c>
    </row>
    <row r="16">
      <c r="A16" s="3" t="n">
        <v>15</v>
      </c>
      <c r="B16" s="3" t="inlineStr">
        <is>
          <t>Otavio</t>
        </is>
      </c>
      <c r="C16" s="4" t="n">
        <v>9</v>
      </c>
      <c r="D16" s="4" t="n">
        <v>3</v>
      </c>
      <c r="E16" s="5" t="n">
        <v>1</v>
      </c>
      <c r="F16" s="4">
        <f>C16*$M$2 + D16*$M$3 + $M$4</f>
        <v/>
      </c>
      <c r="G16" s="4">
        <f>1/(1 + EXP(-F16))</f>
        <v/>
      </c>
      <c r="H16" s="5">
        <f>IF(G16&gt;=0.5, 1, 0)</f>
        <v/>
      </c>
      <c r="I16" s="5">
        <f>E16-H16</f>
        <v/>
      </c>
      <c r="J16" s="4">
        <f>(E16-G16)^2</f>
        <v/>
      </c>
    </row>
    <row r="17">
      <c r="A17" s="3" t="n">
        <v>16</v>
      </c>
      <c r="B17" s="3" t="inlineStr">
        <is>
          <t>Patricia</t>
        </is>
      </c>
      <c r="C17" s="4" t="n">
        <v>0</v>
      </c>
      <c r="D17" s="4" t="n">
        <v>8</v>
      </c>
      <c r="E17" s="5" t="n">
        <v>0</v>
      </c>
      <c r="F17" s="4">
        <f>C17*$M$2 + D17*$M$3 + $M$4</f>
        <v/>
      </c>
      <c r="G17" s="4">
        <f>1/(1 + EXP(-F17))</f>
        <v/>
      </c>
      <c r="H17" s="5">
        <f>IF(G17&gt;=0.5, 1, 0)</f>
        <v/>
      </c>
      <c r="I17" s="5">
        <f>E17-H17</f>
        <v/>
      </c>
      <c r="J17" s="4">
        <f>(E17-G17)^2</f>
        <v/>
      </c>
    </row>
    <row r="18">
      <c r="A18" s="3" t="n">
        <v>17</v>
      </c>
      <c r="B18" s="3" t="inlineStr">
        <is>
          <t>Quirino</t>
        </is>
      </c>
      <c r="C18" s="4" t="n">
        <v>4</v>
      </c>
      <c r="D18" s="4" t="n">
        <v>8</v>
      </c>
      <c r="E18" s="5" t="n">
        <v>1</v>
      </c>
      <c r="F18" s="4">
        <f>C18*$M$2 + D18*$M$3 + $M$4</f>
        <v/>
      </c>
      <c r="G18" s="4">
        <f>1/(1 + EXP(-F18))</f>
        <v/>
      </c>
      <c r="H18" s="5">
        <f>IF(G18&gt;=0.5, 1, 0)</f>
        <v/>
      </c>
      <c r="I18" s="5">
        <f>E18-H18</f>
        <v/>
      </c>
      <c r="J18" s="4">
        <f>(E18-G18)^2</f>
        <v/>
      </c>
    </row>
    <row r="19">
      <c r="A19" s="3" t="n">
        <v>18</v>
      </c>
      <c r="B19" s="3" t="inlineStr">
        <is>
          <t>Rita</t>
        </is>
      </c>
      <c r="C19" s="4" t="n">
        <v>2</v>
      </c>
      <c r="D19" s="4" t="n">
        <v>5</v>
      </c>
      <c r="E19" s="5" t="n">
        <v>0</v>
      </c>
      <c r="F19" s="4">
        <f>C19*$M$2 + D19*$M$3 + $M$4</f>
        <v/>
      </c>
      <c r="G19" s="4">
        <f>1/(1 + EXP(-F19))</f>
        <v/>
      </c>
      <c r="H19" s="5">
        <f>IF(G19&gt;=0.5, 1, 0)</f>
        <v/>
      </c>
      <c r="I19" s="5">
        <f>E19-H19</f>
        <v/>
      </c>
      <c r="J19" s="4">
        <f>(E19-G19)^2</f>
        <v/>
      </c>
    </row>
    <row r="20">
      <c r="A20" s="3" t="n">
        <v>19</v>
      </c>
      <c r="B20" s="3" t="inlineStr">
        <is>
          <t>Samuel</t>
        </is>
      </c>
      <c r="C20" s="4" t="n">
        <v>8</v>
      </c>
      <c r="D20" s="4" t="n">
        <v>2</v>
      </c>
      <c r="E20" s="5" t="n">
        <v>1</v>
      </c>
      <c r="F20" s="4">
        <f>C20*$M$2 + D20*$M$3 + $M$4</f>
        <v/>
      </c>
      <c r="G20" s="4">
        <f>1/(1 + EXP(-F20))</f>
        <v/>
      </c>
      <c r="H20" s="5">
        <f>IF(G20&gt;=0.5, 1, 0)</f>
        <v/>
      </c>
      <c r="I20" s="5">
        <f>E20-H20</f>
        <v/>
      </c>
      <c r="J20" s="4">
        <f>(E20-G20)^2</f>
        <v/>
      </c>
    </row>
    <row r="21">
      <c r="A21" s="3" t="n">
        <v>20</v>
      </c>
      <c r="B21" s="3" t="inlineStr">
        <is>
          <t>Tatiana</t>
        </is>
      </c>
      <c r="C21" s="4" t="n">
        <v>3</v>
      </c>
      <c r="D21" s="4" t="n">
        <v>3</v>
      </c>
      <c r="E21" s="5" t="n">
        <v>0</v>
      </c>
      <c r="F21" s="4">
        <f>C21*$M$2 + D21*$M$3 + $M$4</f>
        <v/>
      </c>
      <c r="G21" s="4">
        <f>1/(1 + EXP(-F21))</f>
        <v/>
      </c>
      <c r="H21" s="5">
        <f>IF(G21&gt;=0.5, 1, 0)</f>
        <v/>
      </c>
      <c r="I21" s="5">
        <f>E21-H21</f>
        <v/>
      </c>
      <c r="J21" s="4">
        <f>(E21-G21)^2</f>
        <v/>
      </c>
    </row>
  </sheetData>
  <mergeCells count="2">
    <mergeCell ref="L1:M1"/>
    <mergeCell ref="L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2026-06-24T19:57:51Z</dcterms:created>
  <dcterms:modified xsi:type="dcterms:W3CDTF">2026-06-24T19:57:51Z</dcterms:modified>
</cp:coreProperties>
</file>