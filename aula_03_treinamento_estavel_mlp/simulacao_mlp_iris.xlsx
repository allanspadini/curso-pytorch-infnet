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_Iris" sheetId="1" state="visible" r:id="rId1"/>
    <sheet name="Camada_Oculta_1" sheetId="2" state="visible" r:id="rId2"/>
    <sheet name="Camada_Saida_Softm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A345D"/>
      <sz val="14"/>
    </font>
    <font>
      <name val="Segoe UI"/>
      <sz val="10"/>
    </font>
    <font>
      <name val="Segoe UI"/>
      <b val="1"/>
      <color rgb="00FFFFFF"/>
      <sz val="11"/>
    </font>
    <font>
      <name val="Segoe UI"/>
      <b val="1"/>
      <sz val="11"/>
    </font>
  </fonts>
  <fills count="4">
    <fill>
      <patternFill/>
    </fill>
    <fill>
      <patternFill patternType="gray125"/>
    </fill>
    <fill>
      <patternFill patternType="solid">
        <fgColor rgb="000A345D"/>
        <bgColor rgb="000A345D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Simulação Matemática de MLP - Dataset Iris</t>
        </is>
      </c>
    </row>
    <row r="2">
      <c r="A2" s="2" t="inlineStr">
        <is>
          <t>Exemplo prático de cálculo do Forward Pass em uma Rede Neural Multicamadas</t>
        </is>
      </c>
    </row>
    <row r="4">
      <c r="A4" s="3" t="inlineStr">
        <is>
          <t>Amostra ID</t>
        </is>
      </c>
      <c r="B4" s="3" t="inlineStr">
        <is>
          <t>Comprimento Sépala (cm)</t>
        </is>
      </c>
      <c r="C4" s="3" t="inlineStr">
        <is>
          <t>Largura Sépala (cm)</t>
        </is>
      </c>
      <c r="D4" s="3" t="inlineStr">
        <is>
          <t>Comprimento Pétala (cm)</t>
        </is>
      </c>
      <c r="E4" s="3" t="inlineStr">
        <is>
          <t>Largura Pétala (cm)</t>
        </is>
      </c>
      <c r="F4" s="3" t="inlineStr">
        <is>
          <t>Classe Real (Target)</t>
        </is>
      </c>
    </row>
    <row r="5">
      <c r="A5" s="4" t="n">
        <v>1</v>
      </c>
      <c r="B5" s="5" t="n">
        <v>5.1</v>
      </c>
      <c r="C5" s="5" t="n">
        <v>3.5</v>
      </c>
      <c r="D5" s="5" t="n">
        <v>1.4</v>
      </c>
      <c r="E5" s="5" t="n">
        <v>0.2</v>
      </c>
      <c r="F5" s="4" t="inlineStr">
        <is>
          <t>Iris-setosa (0)</t>
        </is>
      </c>
    </row>
    <row r="6">
      <c r="A6" s="4" t="n">
        <v>2</v>
      </c>
      <c r="B6" s="5" t="n">
        <v>4.9</v>
      </c>
      <c r="C6" s="5" t="n">
        <v>3</v>
      </c>
      <c r="D6" s="5" t="n">
        <v>1.4</v>
      </c>
      <c r="E6" s="5" t="n">
        <v>0.2</v>
      </c>
      <c r="F6" s="4" t="inlineStr">
        <is>
          <t>Iris-setosa (0)</t>
        </is>
      </c>
    </row>
    <row r="7">
      <c r="A7" s="4" t="n">
        <v>3</v>
      </c>
      <c r="B7" s="5" t="n">
        <v>7</v>
      </c>
      <c r="C7" s="5" t="n">
        <v>3.2</v>
      </c>
      <c r="D7" s="5" t="n">
        <v>4.7</v>
      </c>
      <c r="E7" s="5" t="n">
        <v>1.4</v>
      </c>
      <c r="F7" s="4" t="inlineStr">
        <is>
          <t>Iris-versicolor (1)</t>
        </is>
      </c>
    </row>
    <row r="8">
      <c r="A8" s="4" t="n">
        <v>4</v>
      </c>
      <c r="B8" s="5" t="n">
        <v>6.4</v>
      </c>
      <c r="C8" s="5" t="n">
        <v>3.2</v>
      </c>
      <c r="D8" s="5" t="n">
        <v>4.5</v>
      </c>
      <c r="E8" s="5" t="n">
        <v>1.5</v>
      </c>
      <c r="F8" s="4" t="inlineStr">
        <is>
          <t>Iris-versicolor (1)</t>
        </is>
      </c>
    </row>
    <row r="9">
      <c r="A9" s="4" t="n">
        <v>5</v>
      </c>
      <c r="B9" s="5" t="n">
        <v>6.3</v>
      </c>
      <c r="C9" s="5" t="n">
        <v>3.3</v>
      </c>
      <c r="D9" s="5" t="n">
        <v>6</v>
      </c>
      <c r="E9" s="5" t="n">
        <v>2.5</v>
      </c>
      <c r="F9" s="4" t="inlineStr">
        <is>
          <t>Iris-virginica (2)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Camada Oculta 1 (Hidden Layer) - Ativação ReLU</t>
        </is>
      </c>
    </row>
    <row r="3">
      <c r="A3" s="6" t="inlineStr">
        <is>
          <t>Matriz de Pesos W1 (4 Entradas x 4 Neurônios)</t>
        </is>
      </c>
    </row>
    <row r="4">
      <c r="A4" s="7" t="inlineStr">
        <is>
          <t>Feature / Neurônio</t>
        </is>
      </c>
      <c r="B4" s="7" t="inlineStr">
        <is>
          <t>h1</t>
        </is>
      </c>
      <c r="C4" s="7" t="inlineStr">
        <is>
          <t>h2</t>
        </is>
      </c>
      <c r="D4" s="7" t="inlineStr">
        <is>
          <t>h3</t>
        </is>
      </c>
      <c r="E4" s="7" t="inlineStr">
        <is>
          <t>h4</t>
        </is>
      </c>
    </row>
    <row r="5">
      <c r="A5" s="4" t="inlineStr">
        <is>
          <t>x1 (Sepal Length)</t>
        </is>
      </c>
      <c r="B5" s="4" t="n">
        <v>0.15</v>
      </c>
      <c r="C5" s="4" t="n">
        <v>-0.22</v>
      </c>
      <c r="D5" s="4" t="n">
        <v>0.45</v>
      </c>
      <c r="E5" s="4" t="n">
        <v>0.1</v>
      </c>
    </row>
    <row r="6">
      <c r="A6" s="4" t="inlineStr">
        <is>
          <t>x2 (Sepal Width)</t>
        </is>
      </c>
      <c r="B6" s="4" t="n">
        <v>0.25</v>
      </c>
      <c r="C6" s="4" t="n">
        <v>0.35</v>
      </c>
      <c r="D6" s="4" t="n">
        <v>-0.12</v>
      </c>
      <c r="E6" s="4" t="n">
        <v>0.05</v>
      </c>
    </row>
    <row r="7">
      <c r="A7" s="4" t="inlineStr">
        <is>
          <t>x3 (Petal Length)</t>
        </is>
      </c>
      <c r="B7" s="4" t="n">
        <v>-0.4</v>
      </c>
      <c r="C7" s="4" t="n">
        <v>0.5</v>
      </c>
      <c r="D7" s="4" t="n">
        <v>0.8</v>
      </c>
      <c r="E7" s="4" t="n">
        <v>-0.3</v>
      </c>
    </row>
    <row r="8">
      <c r="A8" s="4" t="inlineStr">
        <is>
          <t>x4 (Petal Width)</t>
        </is>
      </c>
      <c r="B8" s="4" t="n">
        <v>-0.1</v>
      </c>
      <c r="C8" s="4" t="n">
        <v>0.65</v>
      </c>
      <c r="D8" s="4" t="n">
        <v>0.9</v>
      </c>
      <c r="E8" s="4" t="n">
        <v>-0.5</v>
      </c>
    </row>
    <row r="10">
      <c r="A10" s="6" t="inlineStr">
        <is>
          <t>Vetor de Bias b1</t>
        </is>
      </c>
    </row>
    <row r="11">
      <c r="A11" s="8" t="inlineStr">
        <is>
          <t>Bias b1</t>
        </is>
      </c>
      <c r="B11" s="9" t="n">
        <v>0.05</v>
      </c>
      <c r="C11" s="9" t="n">
        <v>-0.1</v>
      </c>
      <c r="D11" s="9" t="n">
        <v>0.2</v>
      </c>
      <c r="E11" s="9" t="n">
        <v>0</v>
      </c>
    </row>
    <row r="14">
      <c r="A14" s="6" t="inlineStr">
        <is>
          <t>Cálculo para Amostra ID 1: X = [5.1, 3.5, 1.4, 0.2]</t>
        </is>
      </c>
    </row>
    <row r="15">
      <c r="A15" s="7" t="inlineStr">
        <is>
          <t>Neurônio</t>
        </is>
      </c>
      <c r="B15" s="7" t="inlineStr">
        <is>
          <t>Combinação Linear Z1 = Sum(X*W1) + b1</t>
        </is>
      </c>
      <c r="C15" s="7" t="inlineStr">
        <is>
          <t>Fórmula ReLU A1 = MAX(0, Z1)</t>
        </is>
      </c>
    </row>
    <row r="16">
      <c r="A16" s="4" t="inlineStr">
        <is>
          <t>h1</t>
        </is>
      </c>
      <c r="B16" s="4">
        <f>5.1*B5 + 3.5*B6 + 1.4*B7 + 0.2*B8 + B11</f>
        <v/>
      </c>
      <c r="C16" s="4">
        <f>MAX(0, B16)</f>
        <v/>
      </c>
    </row>
    <row r="17">
      <c r="A17" s="4" t="inlineStr">
        <is>
          <t>h2</t>
        </is>
      </c>
      <c r="B17" s="4">
        <f>5.1*C5 + 3.5*C6 + 1.4*C7 + 0.2*C8 + C11</f>
        <v/>
      </c>
      <c r="C17" s="4">
        <f>MAX(0, B17)</f>
        <v/>
      </c>
    </row>
    <row r="18">
      <c r="A18" s="4" t="inlineStr">
        <is>
          <t>h3</t>
        </is>
      </c>
      <c r="B18" s="4">
        <f>5.1*D5 + 3.5*D6 + 1.4*D7 + 0.2*D8 + D11</f>
        <v/>
      </c>
      <c r="C18" s="4">
        <f>MAX(0, B18)</f>
        <v/>
      </c>
    </row>
    <row r="19">
      <c r="A19" s="4" t="inlineStr">
        <is>
          <t>h4</t>
        </is>
      </c>
      <c r="B19" s="4">
        <f>5.1*E5 + 3.5*E6 + 1.4*E7 + 0.2*E8 + E11</f>
        <v/>
      </c>
      <c r="C19" s="4">
        <f>MAX(0, B19)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Camada de Saída (Output Layer) - Softmax &amp; Loss</t>
        </is>
      </c>
    </row>
    <row r="3">
      <c r="A3" s="6" t="inlineStr">
        <is>
          <t>Matriz de Pesos W2 (4 Neurônios Ocultos x 3 Classes)</t>
        </is>
      </c>
    </row>
    <row r="4">
      <c r="A4" s="7" t="inlineStr">
        <is>
          <t>Neurônio Oculto</t>
        </is>
      </c>
      <c r="B4" s="7" t="inlineStr">
        <is>
          <t>Classe 0 (Setosa)</t>
        </is>
      </c>
      <c r="C4" s="7" t="inlineStr">
        <is>
          <t>Classe 1 (Versicolor)</t>
        </is>
      </c>
      <c r="D4" s="7" t="inlineStr">
        <is>
          <t>Classe 2 (Virginica)</t>
        </is>
      </c>
    </row>
    <row r="5">
      <c r="A5" s="4" t="inlineStr">
        <is>
          <t>A1 (h1)</t>
        </is>
      </c>
      <c r="B5" s="4" t="n">
        <v>0.8</v>
      </c>
      <c r="C5" s="4" t="n">
        <v>-0.4</v>
      </c>
      <c r="D5" s="4" t="n">
        <v>-0.3</v>
      </c>
    </row>
    <row r="6">
      <c r="A6" s="4" t="inlineStr">
        <is>
          <t>A1 (h2)</t>
        </is>
      </c>
      <c r="B6" s="4" t="n">
        <v>-0.5</v>
      </c>
      <c r="C6" s="4" t="n">
        <v>0.6</v>
      </c>
      <c r="D6" s="4" t="n">
        <v>0.1</v>
      </c>
    </row>
    <row r="7">
      <c r="A7" s="4" t="inlineStr">
        <is>
          <t>A1 (h3)</t>
        </is>
      </c>
      <c r="B7" s="4" t="n">
        <v>0.9</v>
      </c>
      <c r="C7" s="4" t="n">
        <v>-0.2</v>
      </c>
      <c r="D7" s="4" t="n">
        <v>0.4</v>
      </c>
    </row>
    <row r="8">
      <c r="A8" s="4" t="inlineStr">
        <is>
          <t>A1 (h4)</t>
        </is>
      </c>
      <c r="B8" s="4" t="n">
        <v>-0.1</v>
      </c>
      <c r="C8" s="4" t="n">
        <v>0.3</v>
      </c>
      <c r="D8" s="4" t="n">
        <v>-0.2</v>
      </c>
    </row>
    <row r="10">
      <c r="A10" s="6" t="inlineStr">
        <is>
          <t>Vetor de Bias b2</t>
        </is>
      </c>
    </row>
    <row r="11">
      <c r="A11" s="8" t="inlineStr">
        <is>
          <t>Bias b2</t>
        </is>
      </c>
      <c r="B11" s="9" t="n">
        <v>0.1</v>
      </c>
      <c r="C11" s="9" t="n">
        <v>0</v>
      </c>
      <c r="D11" s="9" t="n">
        <v>-0.1</v>
      </c>
    </row>
    <row r="14">
      <c r="A14" s="6" t="inlineStr">
        <is>
          <t>Cálculo de Logits (Z2) e Probabilidades Softmax</t>
        </is>
      </c>
    </row>
    <row r="15">
      <c r="A15" s="7" t="inlineStr">
        <is>
          <t>Classe</t>
        </is>
      </c>
      <c r="B15" s="7" t="inlineStr">
        <is>
          <t>Logit Z2 = Sum(A1*W2) + b2</t>
        </is>
      </c>
      <c r="C15" s="7" t="inlineStr">
        <is>
          <t>Exp(Z2)</t>
        </is>
      </c>
      <c r="D15" s="7" t="inlineStr">
        <is>
          <t>Probabilidade Softmax P</t>
        </is>
      </c>
      <c r="E15" s="7" t="inlineStr">
        <is>
          <t>Cross Entropy Loss (Target=0)</t>
        </is>
      </c>
    </row>
    <row r="16">
      <c r="A16" s="4" t="inlineStr">
        <is>
          <t>Classe 0 (Setosa)</t>
        </is>
      </c>
      <c r="B16" s="4">
        <f>Camada_Oculta_1!C16*B5 + Camada_Oculta_1!C17*B6 + Camada_Oculta_1!C18*B7 + Camada_Oculta_1!C19*B8 + B11</f>
        <v/>
      </c>
      <c r="C16" s="4">
        <f>EXP(B16)</f>
        <v/>
      </c>
      <c r="D16" s="4">
        <f>C16/SUM(C6:C8)</f>
        <v/>
      </c>
      <c r="E16" s="4">
        <f>-LN(D16)</f>
        <v/>
      </c>
    </row>
    <row r="17">
      <c r="A17" s="4" t="inlineStr">
        <is>
          <t>Classe 1 (Versicolor)</t>
        </is>
      </c>
      <c r="B17" s="4">
        <f>Camada_Oculta_1!C16*C5 + Camada_Oculta_1!C17*C6 + Camada_Oculta_1!C18*C7 + Camada_Oculta_1!C19*C8 + C11</f>
        <v/>
      </c>
      <c r="C17" s="4">
        <f>EXP(B17)</f>
        <v/>
      </c>
      <c r="D17" s="4">
        <f>C17/SUM(C6:C8)</f>
        <v/>
      </c>
      <c r="E17" s="4" t="inlineStr">
        <is>
          <t>-(Target=1)</t>
        </is>
      </c>
    </row>
    <row r="18">
      <c r="A18" s="4" t="inlineStr">
        <is>
          <t>Classe 2 (Virginica)</t>
        </is>
      </c>
      <c r="B18" s="4">
        <f>Camada_Oculta_1!C16*D5 + Camada_Oculta_1!C17*D6 + Camada_Oculta_1!C18*D7 + Camada_Oculta_1!C19*D8 + D11</f>
        <v/>
      </c>
      <c r="C18" s="4">
        <f>EXP(B18)</f>
        <v/>
      </c>
      <c r="D18" s="4">
        <f>C18/SUM(C6:C8)</f>
        <v/>
      </c>
      <c r="E18" s="4" t="inlineStr">
        <is>
          <t>-(Target=2)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2026-08-02T12:53:30Z</dcterms:created>
  <dcterms:modified xsi:type="dcterms:W3CDTF">2026-08-02T12:53:30Z</dcterms:modified>
</cp:coreProperties>
</file>